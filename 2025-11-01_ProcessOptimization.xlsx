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e9cc442754e15d/Presentations/"/>
    </mc:Choice>
  </mc:AlternateContent>
  <xr:revisionPtr revIDLastSave="20" documentId="8_{2F75B8A0-7C11-413C-871B-92BC3622F397}" xr6:coauthVersionLast="47" xr6:coauthVersionMax="47" xr10:uidLastSave="{CC3CD5F5-D91D-477C-B5FF-0545BE04A8C3}"/>
  <bookViews>
    <workbookView xWindow="-98" yWindow="-98" windowWidth="20715" windowHeight="13155" tabRatio="798" xr2:uid="{9D2758EF-FADD-43DA-B243-24C5F6F0C5A9}"/>
  </bookViews>
  <sheets>
    <sheet name="ProcessFlow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7" l="1"/>
  <c r="N13" i="7" s="1"/>
  <c r="L16" i="7"/>
  <c r="L15" i="7"/>
  <c r="L14" i="7"/>
  <c r="M16" i="7"/>
  <c r="M15" i="7"/>
  <c r="M14" i="7"/>
  <c r="L7" i="7"/>
  <c r="M7" i="7" s="1"/>
  <c r="H15" i="7"/>
  <c r="L5" i="7" s="1"/>
  <c r="M5" i="7" s="1"/>
  <c r="L8" i="7"/>
  <c r="M8" i="7" s="1"/>
  <c r="L6" i="7"/>
  <c r="M6" i="7" s="1"/>
  <c r="L2" i="7" l="1"/>
  <c r="M2" i="7" s="1"/>
  <c r="O2" i="7" s="1"/>
  <c r="N15" i="7"/>
  <c r="N14" i="7"/>
  <c r="N16" i="7"/>
  <c r="L3" i="7"/>
  <c r="M3" i="7" s="1"/>
  <c r="O3" i="7" s="1"/>
  <c r="L4" i="7"/>
  <c r="M4" i="7" s="1"/>
  <c r="O4" i="7" s="1"/>
  <c r="H17" i="7"/>
  <c r="O5" i="7"/>
  <c r="O8" i="7"/>
  <c r="O7" i="7"/>
  <c r="O6" i="7"/>
  <c r="M12" i="7" l="1"/>
  <c r="N12" i="7" s="1"/>
  <c r="M11" i="7"/>
  <c r="N11" i="7" s="1"/>
  <c r="Q6" i="7"/>
  <c r="Q5" i="7"/>
  <c r="Q2" i="7"/>
  <c r="Q8" i="7"/>
  <c r="Q3" i="7"/>
  <c r="Q7" i="7"/>
  <c r="Q4" i="7"/>
  <c r="N17" i="7" l="1"/>
  <c r="R4" i="7"/>
  <c r="P4" i="7"/>
  <c r="R7" i="7"/>
  <c r="P7" i="7"/>
  <c r="R3" i="7"/>
  <c r="P3" i="7"/>
  <c r="R8" i="7"/>
  <c r="P8" i="7"/>
  <c r="R2" i="7"/>
  <c r="P2" i="7"/>
  <c r="R5" i="7"/>
  <c r="P5" i="7"/>
  <c r="R6" i="7"/>
  <c r="P6" i="7"/>
</calcChain>
</file>

<file path=xl/sharedStrings.xml><?xml version="1.0" encoding="utf-8"?>
<sst xmlns="http://schemas.openxmlformats.org/spreadsheetml/2006/main" count="75" uniqueCount="46">
  <si>
    <t>Task</t>
  </si>
  <si>
    <t>Receptionist</t>
  </si>
  <si>
    <t>Batch</t>
  </si>
  <si>
    <t>Consultation</t>
  </si>
  <si>
    <t>Surgeon</t>
  </si>
  <si>
    <t>Schedule consultation</t>
  </si>
  <si>
    <t>Request testing</t>
  </si>
  <si>
    <t>Schedule 2nd appointment</t>
  </si>
  <si>
    <t>Room</t>
  </si>
  <si>
    <t>Testing</t>
  </si>
  <si>
    <t>Nurse</t>
  </si>
  <si>
    <t>Schecule Pre-Surgery</t>
  </si>
  <si>
    <t>Pre-Surgery</t>
  </si>
  <si>
    <t>Schecule Surgery</t>
  </si>
  <si>
    <t>Pre-Op Seminar</t>
  </si>
  <si>
    <t>Prep patient for surgery</t>
  </si>
  <si>
    <t>Surgery</t>
  </si>
  <si>
    <t>Check-up</t>
  </si>
  <si>
    <t>Resource</t>
  </si>
  <si>
    <t># of Units</t>
  </si>
  <si>
    <t>Process Capacity</t>
  </si>
  <si>
    <t>Resource Utilization</t>
  </si>
  <si>
    <t>Care Nurse</t>
  </si>
  <si>
    <t>Surgery Nurse</t>
  </si>
  <si>
    <t>Outpatient room</t>
  </si>
  <si>
    <t>Inpatient room</t>
  </si>
  <si>
    <t>Who</t>
  </si>
  <si>
    <t>Qty</t>
  </si>
  <si>
    <t>Unit Capacity
Units/week</t>
  </si>
  <si>
    <t>Disinfect Surgery Room</t>
  </si>
  <si>
    <t>Column1</t>
  </si>
  <si>
    <t>Bottleneck?</t>
  </si>
  <si>
    <t>Scub In</t>
  </si>
  <si>
    <t>Folluw-up</t>
  </si>
  <si>
    <t>Units/week</t>
  </si>
  <si>
    <t>Patient Flow</t>
  </si>
  <si>
    <t>Unit Load
(min)</t>
  </si>
  <si>
    <t>Operating room</t>
  </si>
  <si>
    <t>Revenue</t>
  </si>
  <si>
    <t>$</t>
  </si>
  <si>
    <t>Subtotal</t>
  </si>
  <si>
    <t>Bed</t>
  </si>
  <si>
    <t>Consumables</t>
  </si>
  <si>
    <t>Profit</t>
  </si>
  <si>
    <t>Surgeon, 2x Surgery Nurse</t>
  </si>
  <si>
    <t>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</si>
</sst>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0">
    <dxf>
      <font>
        <b/>
        <i val="0"/>
        <color rgb="FFC00000"/>
      </font>
      <border>
        <left/>
        <right/>
        <top style="thin">
          <color rgb="FFEE0000"/>
        </top>
        <bottom style="thin">
          <color rgb="FFEE0000"/>
        </bottom>
        <vertical/>
        <horizontal/>
      </border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0" formatCode="General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7B10B-A373-4CC6-B637-E7319DADE13B}" name="Table1" displayName="Table1" ref="K1:R8" totalsRowShown="0">
  <autoFilter ref="K1:R8" xr:uid="{1BE7B10B-A373-4CC6-B637-E7319DADE13B}"/>
  <tableColumns count="8">
    <tableColumn id="1" xr3:uid="{2E33DAD8-1931-4832-96B7-526AEE80FB5C}" name="Resource"/>
    <tableColumn id="2" xr3:uid="{7F22C6A2-6ECC-4986-8223-25C16DF9F430}" name="Unit Load_x000a_(min)"/>
    <tableColumn id="3" xr3:uid="{A65913D9-4902-4597-8D3D-50CDEC715384}" name="Unit Capacity_x000a_Units/week" dataDxfId="9">
      <calculatedColumnFormula>(60*12*5)/L2</calculatedColumnFormula>
    </tableColumn>
    <tableColumn id="4" xr3:uid="{EC79EF24-493A-43A0-95CF-FDF71A54B7A2}" name="# of Units"/>
    <tableColumn id="5" xr3:uid="{9DB1AA81-B3E1-4D64-AB86-94EEEFEF5AC1}" name="Units/week" dataDxfId="8">
      <calculatedColumnFormula>M2*N2</calculatedColumnFormula>
    </tableColumn>
    <tableColumn id="6" xr3:uid="{5239CC18-129D-4A1B-88FE-697F60B084AE}" name="Process Capacity" dataDxfId="7">
      <calculatedColumnFormula>IF(Table1[[#This Row],[Resource Utilization]]=1,MIN($O$2:$O$8),"")</calculatedColumnFormula>
    </tableColumn>
    <tableColumn id="7" xr3:uid="{28D56FEC-9D81-461A-BEB0-B97A19F8451D}" name="Resource Utilization" dataDxfId="6">
      <calculatedColumnFormula>MIN($O$2:$O$8)/O2</calculatedColumnFormula>
    </tableColumn>
    <tableColumn id="8" xr3:uid="{E63AE608-2567-4965-9181-96E1CE0AED7B}" name="Bottleneck?" dataDxfId="5">
      <calculatedColumnFormula>IF(Table1[[#This Row],[Resource Utilization]]=1,"Blottleneck","")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09A9FC-F825-4674-B4B7-50E2047A6C19}" name="Table2" displayName="Table2" ref="A1:I17" totalsRowCount="1">
  <autoFilter ref="A1:I16" xr:uid="{EE09A9FC-F825-4674-B4B7-50E2047A6C19}"/>
  <tableColumns count="9">
    <tableColumn id="1" xr3:uid="{68B274A6-26C7-4E6B-8895-1C9713CB9DDF}" name="Task" totalsRowLabel="Patient Flow"/>
    <tableColumn id="2" xr3:uid="{058DC8DF-C140-4178-B942-7429D6304FA7}" name="Who"/>
    <tableColumn id="6" xr3:uid="{F924FEF9-262F-4B13-A3DF-7965ADF40C28}" name="Surgeon"/>
    <tableColumn id="7" xr3:uid="{7CABF214-8276-4171-89D9-B98C3EB0F6A4}" name="Care Nurse"/>
    <tableColumn id="8" xr3:uid="{3C63C5BF-ED1C-4129-89E8-5265837D1AC4}" name="Surgery Nurse"/>
    <tableColumn id="9" xr3:uid="{B7A70727-A5C7-4772-BA44-F6842354D488}" name="Receptionist"/>
    <tableColumn id="3" xr3:uid="{35C2ECA1-3F92-4DF4-9086-FE30566F9FD4}" name="Room"/>
    <tableColumn id="4" xr3:uid="{6BDD4302-284A-4E5C-9B02-C28E07E1335E}" name="Time (min)" totalsRowFunction="custom">
      <totalsRowFormula>SUM(Table2[Time (min)])-SUM(H12:H13)</totalsRowFormula>
    </tableColumn>
    <tableColumn id="5" xr3:uid="{9C585F2A-9773-469D-8D98-6978C79101D7}" name="Batch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73C1B28-47A1-4AEA-8583-67CD55BC6310}" name="Table13" displayName="Table13" ref="K10:N17" totalsRowCount="1">
  <autoFilter ref="K10:N16" xr:uid="{773C1B28-47A1-4AEA-8583-67CD55BC6310}"/>
  <tableColumns count="4">
    <tableColumn id="1" xr3:uid="{066C7070-32D5-4EB7-9106-434F4F2D5F22}" name="Column1" totalsRowLabel="Profit"/>
    <tableColumn id="2" xr3:uid="{DC58C87C-185B-4451-A561-2D69C6AB7C70}" name="$" dataDxfId="4" totalsRowDxfId="3"/>
    <tableColumn id="3" xr3:uid="{8DA3C6B2-0C80-40FB-B2AD-1A7ADF8DBE78}" name="Qty"/>
    <tableColumn id="4" xr3:uid="{AA62E07A-354B-47AF-9ED5-3CDE2808FB68}" name="Subtotal" totalsRowFunction="custom" dataDxfId="2" totalsRowDxfId="1">
      <calculatedColumnFormula>Table13[[#This Row],[Qty]]*Table13[[#This Row],[$]]</calculatedColumnFormula>
      <totalsRowFormula>SUM(Table13[Subtotal])</totalsRow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948A-3C53-48F8-B8D7-C3EC3F010EFC}">
  <dimension ref="A1:R17"/>
  <sheetViews>
    <sheetView tabSelected="1" workbookViewId="0">
      <selection activeCell="J21" sqref="J21"/>
    </sheetView>
  </sheetViews>
  <sheetFormatPr defaultRowHeight="14.25" x14ac:dyDescent="0.45"/>
  <cols>
    <col min="1" max="1" width="22.796875" bestFit="1" customWidth="1"/>
    <col min="2" max="2" width="21.1328125" bestFit="1" customWidth="1"/>
    <col min="11" max="12" width="10.46484375" customWidth="1"/>
    <col min="13" max="13" width="9.6640625" customWidth="1"/>
    <col min="14" max="14" width="10.33203125" customWidth="1"/>
    <col min="15" max="15" width="9.33203125" customWidth="1"/>
    <col min="16" max="16" width="16.9296875" customWidth="1"/>
    <col min="17" max="17" width="19" customWidth="1"/>
  </cols>
  <sheetData>
    <row r="1" spans="1:18" ht="57" x14ac:dyDescent="0.45">
      <c r="A1" t="s">
        <v>0</v>
      </c>
      <c r="B1" t="s">
        <v>26</v>
      </c>
      <c r="C1" t="s">
        <v>4</v>
      </c>
      <c r="D1" t="s">
        <v>22</v>
      </c>
      <c r="E1" t="s">
        <v>23</v>
      </c>
      <c r="F1" t="s">
        <v>1</v>
      </c>
      <c r="G1" t="s">
        <v>8</v>
      </c>
      <c r="H1" t="s">
        <v>45</v>
      </c>
      <c r="I1" t="s">
        <v>2</v>
      </c>
      <c r="K1" t="s">
        <v>18</v>
      </c>
      <c r="L1" s="1" t="s">
        <v>36</v>
      </c>
      <c r="M1" s="2" t="s">
        <v>28</v>
      </c>
      <c r="N1" t="s">
        <v>19</v>
      </c>
      <c r="O1" t="s">
        <v>34</v>
      </c>
      <c r="P1" t="s">
        <v>20</v>
      </c>
      <c r="Q1" t="s">
        <v>21</v>
      </c>
      <c r="R1" t="s">
        <v>31</v>
      </c>
    </row>
    <row r="2" spans="1:18" x14ac:dyDescent="0.45">
      <c r="A2" t="s">
        <v>5</v>
      </c>
      <c r="B2" t="s">
        <v>1</v>
      </c>
      <c r="C2">
        <v>0</v>
      </c>
      <c r="D2">
        <v>0</v>
      </c>
      <c r="E2">
        <v>0</v>
      </c>
      <c r="F2">
        <v>1</v>
      </c>
      <c r="H2">
        <v>5</v>
      </c>
      <c r="I2">
        <v>1</v>
      </c>
      <c r="K2" t="s">
        <v>4</v>
      </c>
      <c r="L2">
        <f>SUMPRODUCT(Table2[Surgeon],Table2[Time (min)])</f>
        <v>180</v>
      </c>
      <c r="M2" s="4">
        <f>(60*12*5)/L2</f>
        <v>20</v>
      </c>
      <c r="N2">
        <v>4</v>
      </c>
      <c r="O2" s="4">
        <f>M2*N2</f>
        <v>80</v>
      </c>
      <c r="P2" s="4">
        <f>IF(Table1[[#This Row],[Resource Utilization]]=1,MIN($O$2:$O$8),"")</f>
        <v>80</v>
      </c>
      <c r="Q2" s="3">
        <f>MIN($O$2:$O$8)/O2</f>
        <v>1</v>
      </c>
      <c r="R2" t="str">
        <f>IF(Table1[[#This Row],[Resource Utilization]]=1,"Blottleneck","")</f>
        <v>Blottleneck</v>
      </c>
    </row>
    <row r="3" spans="1:18" x14ac:dyDescent="0.45">
      <c r="A3" t="s">
        <v>3</v>
      </c>
      <c r="B3" t="s">
        <v>4</v>
      </c>
      <c r="C3">
        <v>1</v>
      </c>
      <c r="D3">
        <v>0</v>
      </c>
      <c r="E3">
        <v>0</v>
      </c>
      <c r="F3">
        <v>0</v>
      </c>
      <c r="G3" t="s">
        <v>24</v>
      </c>
      <c r="H3">
        <v>30</v>
      </c>
      <c r="I3">
        <v>1</v>
      </c>
      <c r="K3" t="s">
        <v>22</v>
      </c>
      <c r="L3">
        <f>SUMPRODUCT(Table2[Care Nurse],Table2[Time (min)])</f>
        <v>390</v>
      </c>
      <c r="M3" s="4">
        <f t="shared" ref="M3:M8" si="0">(60*12*5)/L3</f>
        <v>9.2307692307692299</v>
      </c>
      <c r="N3">
        <v>10</v>
      </c>
      <c r="O3" s="4">
        <f t="shared" ref="O3:O8" si="1">M3*N3</f>
        <v>92.307692307692292</v>
      </c>
      <c r="P3" s="4" t="str">
        <f>IF(Table1[[#This Row],[Resource Utilization]]=1,MIN($O$2:$O$8),"")</f>
        <v/>
      </c>
      <c r="Q3" s="3">
        <f>MIN($O$2:$O$8)/O3</f>
        <v>0.86666666666666681</v>
      </c>
      <c r="R3" t="str">
        <f>IF(Table1[[#This Row],[Resource Utilization]]=1,"Blottleneck","")</f>
        <v/>
      </c>
    </row>
    <row r="4" spans="1:18" x14ac:dyDescent="0.45">
      <c r="A4" t="s">
        <v>6</v>
      </c>
      <c r="B4" t="s">
        <v>4</v>
      </c>
      <c r="C4">
        <v>1</v>
      </c>
      <c r="D4">
        <v>0</v>
      </c>
      <c r="E4">
        <v>0</v>
      </c>
      <c r="F4">
        <v>0</v>
      </c>
      <c r="G4" t="s">
        <v>24</v>
      </c>
      <c r="H4">
        <v>10</v>
      </c>
      <c r="I4">
        <v>1</v>
      </c>
      <c r="K4" t="s">
        <v>23</v>
      </c>
      <c r="L4">
        <f>SUMPRODUCT(Table2[Surgery Nurse],Table2[Time (min)])</f>
        <v>120</v>
      </c>
      <c r="M4" s="4">
        <f t="shared" si="0"/>
        <v>30</v>
      </c>
      <c r="N4">
        <v>4</v>
      </c>
      <c r="O4" s="4">
        <f t="shared" si="1"/>
        <v>120</v>
      </c>
      <c r="P4" s="4" t="str">
        <f>IF(Table1[[#This Row],[Resource Utilization]]=1,MIN($O$2:$O$8),"")</f>
        <v/>
      </c>
      <c r="Q4" s="3">
        <f>MIN($O$2:$O$8)/O4</f>
        <v>0.66666666666666663</v>
      </c>
      <c r="R4" t="str">
        <f>IF(Table1[[#This Row],[Resource Utilization]]=1,"Blottleneck","")</f>
        <v/>
      </c>
    </row>
    <row r="5" spans="1:18" x14ac:dyDescent="0.45">
      <c r="A5" t="s">
        <v>7</v>
      </c>
      <c r="B5" t="s">
        <v>1</v>
      </c>
      <c r="C5">
        <v>0</v>
      </c>
      <c r="D5">
        <v>0</v>
      </c>
      <c r="E5">
        <v>0</v>
      </c>
      <c r="F5">
        <v>1</v>
      </c>
      <c r="H5">
        <v>5</v>
      </c>
      <c r="I5">
        <v>1</v>
      </c>
      <c r="K5" t="s">
        <v>1</v>
      </c>
      <c r="L5">
        <f>SUMPRODUCT(Table2[Receptionist],Table2[Time (min)])</f>
        <v>15</v>
      </c>
      <c r="M5" s="4">
        <f t="shared" si="0"/>
        <v>240</v>
      </c>
      <c r="N5">
        <v>1</v>
      </c>
      <c r="O5" s="4">
        <f t="shared" si="1"/>
        <v>240</v>
      </c>
      <c r="P5" s="4" t="str">
        <f>IF(Table1[[#This Row],[Resource Utilization]]=1,MIN($O$2:$O$8),"")</f>
        <v/>
      </c>
      <c r="Q5" s="3">
        <f>MIN($O$2:$O$8)/O5</f>
        <v>0.33333333333333331</v>
      </c>
      <c r="R5" t="str">
        <f>IF(Table1[[#This Row],[Resource Utilization]]=1,"Blottleneck","")</f>
        <v/>
      </c>
    </row>
    <row r="6" spans="1:18" x14ac:dyDescent="0.45">
      <c r="A6" t="s">
        <v>9</v>
      </c>
      <c r="B6" t="s">
        <v>22</v>
      </c>
      <c r="C6">
        <v>0</v>
      </c>
      <c r="D6">
        <v>1</v>
      </c>
      <c r="E6">
        <v>0</v>
      </c>
      <c r="F6">
        <v>0</v>
      </c>
      <c r="G6" t="s">
        <v>24</v>
      </c>
      <c r="H6">
        <v>60</v>
      </c>
      <c r="I6">
        <v>1</v>
      </c>
      <c r="K6" t="s">
        <v>24</v>
      </c>
      <c r="L6">
        <f>SUMIFS($H$2:$H$16,$G$2:$G$16,$K6)</f>
        <v>130</v>
      </c>
      <c r="M6" s="4">
        <f t="shared" si="0"/>
        <v>27.692307692307693</v>
      </c>
      <c r="N6">
        <v>6</v>
      </c>
      <c r="O6" s="4">
        <f t="shared" si="1"/>
        <v>166.15384615384616</v>
      </c>
      <c r="P6" s="4" t="str">
        <f>IF(Table1[[#This Row],[Resource Utilization]]=1,MIN($O$2:$O$8),"")</f>
        <v/>
      </c>
      <c r="Q6" s="3">
        <f>MIN($O$2:$O$8)/O6</f>
        <v>0.48148148148148145</v>
      </c>
      <c r="R6" t="str">
        <f>IF(Table1[[#This Row],[Resource Utilization]]=1,"Blottleneck","")</f>
        <v/>
      </c>
    </row>
    <row r="7" spans="1:18" x14ac:dyDescent="0.45">
      <c r="A7" t="s">
        <v>11</v>
      </c>
      <c r="B7" t="s">
        <v>1</v>
      </c>
      <c r="C7">
        <v>0</v>
      </c>
      <c r="D7">
        <v>0</v>
      </c>
      <c r="E7">
        <v>0</v>
      </c>
      <c r="F7">
        <v>1</v>
      </c>
      <c r="H7">
        <v>5</v>
      </c>
      <c r="I7">
        <v>1</v>
      </c>
      <c r="K7" t="s">
        <v>25</v>
      </c>
      <c r="L7">
        <f>(4)*24*60</f>
        <v>5760</v>
      </c>
      <c r="M7" s="4">
        <f>(60*24*7)/L7</f>
        <v>1.75</v>
      </c>
      <c r="N7">
        <v>63</v>
      </c>
      <c r="O7" s="4">
        <f t="shared" si="1"/>
        <v>110.25</v>
      </c>
      <c r="P7" s="4" t="str">
        <f>IF(Table1[[#This Row],[Resource Utilization]]=1,MIN($O$2:$O$8),"")</f>
        <v/>
      </c>
      <c r="Q7" s="3">
        <f>MIN($O$2:$O$8)/O7</f>
        <v>0.7256235827664399</v>
      </c>
      <c r="R7" t="str">
        <f>IF(Table1[[#This Row],[Resource Utilization]]=1,"Blottleneck","")</f>
        <v/>
      </c>
    </row>
    <row r="8" spans="1:18" x14ac:dyDescent="0.45">
      <c r="A8" t="s">
        <v>12</v>
      </c>
      <c r="B8" t="s">
        <v>4</v>
      </c>
      <c r="C8">
        <v>1</v>
      </c>
      <c r="D8">
        <v>0</v>
      </c>
      <c r="E8">
        <v>0</v>
      </c>
      <c r="F8">
        <v>0</v>
      </c>
      <c r="G8" t="s">
        <v>24</v>
      </c>
      <c r="H8">
        <v>20</v>
      </c>
      <c r="I8">
        <v>1</v>
      </c>
      <c r="K8" t="s">
        <v>37</v>
      </c>
      <c r="L8">
        <f>SUMIFS($H$2:$H$16,$G$2:$G$16,$K8)</f>
        <v>60</v>
      </c>
      <c r="M8" s="4">
        <f t="shared" si="0"/>
        <v>60</v>
      </c>
      <c r="N8">
        <v>2</v>
      </c>
      <c r="O8" s="4">
        <f t="shared" si="1"/>
        <v>120</v>
      </c>
      <c r="P8" s="4" t="str">
        <f>IF(Table1[[#This Row],[Resource Utilization]]=1,MIN($O$2:$O$8),"")</f>
        <v/>
      </c>
      <c r="Q8" s="3">
        <f>MIN($O$2:$O$8)/O8</f>
        <v>0.66666666666666663</v>
      </c>
      <c r="R8" t="str">
        <f>IF(Table1[[#This Row],[Resource Utilization]]=1,"Blottleneck","")</f>
        <v/>
      </c>
    </row>
    <row r="9" spans="1:18" x14ac:dyDescent="0.45">
      <c r="A9" t="s">
        <v>13</v>
      </c>
      <c r="B9" t="s">
        <v>22</v>
      </c>
      <c r="C9">
        <v>0</v>
      </c>
      <c r="D9">
        <v>1</v>
      </c>
      <c r="E9">
        <v>0</v>
      </c>
      <c r="F9">
        <v>0</v>
      </c>
      <c r="G9" t="s">
        <v>24</v>
      </c>
      <c r="H9">
        <v>10</v>
      </c>
      <c r="I9">
        <v>1</v>
      </c>
    </row>
    <row r="10" spans="1:18" x14ac:dyDescent="0.45">
      <c r="A10" t="s">
        <v>14</v>
      </c>
      <c r="B10" t="s">
        <v>4</v>
      </c>
      <c r="C10">
        <v>1</v>
      </c>
      <c r="D10">
        <v>0</v>
      </c>
      <c r="E10">
        <v>0</v>
      </c>
      <c r="F10">
        <v>0</v>
      </c>
      <c r="H10">
        <v>60</v>
      </c>
      <c r="I10">
        <v>6</v>
      </c>
      <c r="K10" t="s">
        <v>30</v>
      </c>
      <c r="L10" s="5" t="s">
        <v>39</v>
      </c>
      <c r="M10" t="s">
        <v>27</v>
      </c>
      <c r="N10" t="s">
        <v>40</v>
      </c>
    </row>
    <row r="11" spans="1:18" x14ac:dyDescent="0.45">
      <c r="A11" t="s">
        <v>15</v>
      </c>
      <c r="B11" t="s">
        <v>22</v>
      </c>
      <c r="C11">
        <v>0</v>
      </c>
      <c r="D11">
        <v>1</v>
      </c>
      <c r="E11">
        <v>0</v>
      </c>
      <c r="F11">
        <v>0</v>
      </c>
      <c r="G11" t="s">
        <v>25</v>
      </c>
      <c r="H11">
        <v>30</v>
      </c>
      <c r="I11">
        <v>1</v>
      </c>
      <c r="K11" t="s">
        <v>38</v>
      </c>
      <c r="L11" s="6">
        <v>15000</v>
      </c>
      <c r="M11">
        <f>ROUNDDOWN(MIN(Table1[Units/week]),0)</f>
        <v>80</v>
      </c>
      <c r="N11" s="6">
        <f>Table13[[#This Row],[Qty]]*Table13[[#This Row],[$]]</f>
        <v>1200000</v>
      </c>
    </row>
    <row r="12" spans="1:18" x14ac:dyDescent="0.45">
      <c r="A12" t="s">
        <v>29</v>
      </c>
      <c r="B12" t="s">
        <v>23</v>
      </c>
      <c r="C12">
        <v>0</v>
      </c>
      <c r="D12">
        <v>0</v>
      </c>
      <c r="E12">
        <v>2</v>
      </c>
      <c r="F12">
        <v>0</v>
      </c>
      <c r="G12" t="s">
        <v>37</v>
      </c>
      <c r="H12">
        <v>15</v>
      </c>
      <c r="I12">
        <v>1</v>
      </c>
      <c r="K12" t="s">
        <v>42</v>
      </c>
      <c r="L12" s="6">
        <v>-1000</v>
      </c>
      <c r="M12">
        <f>ROUNDDOWN(MIN(Table1[Units/week]),0)</f>
        <v>80</v>
      </c>
      <c r="N12" s="6">
        <f>Table13[[#This Row],[Qty]]*Table13[[#This Row],[$]]</f>
        <v>-80000</v>
      </c>
    </row>
    <row r="13" spans="1:18" x14ac:dyDescent="0.45">
      <c r="A13" t="s">
        <v>32</v>
      </c>
      <c r="B13" t="s">
        <v>4</v>
      </c>
      <c r="C13">
        <v>1</v>
      </c>
      <c r="D13">
        <v>0</v>
      </c>
      <c r="E13">
        <v>0</v>
      </c>
      <c r="F13">
        <v>0</v>
      </c>
      <c r="H13">
        <v>15</v>
      </c>
      <c r="I13">
        <v>1</v>
      </c>
      <c r="K13" t="s">
        <v>41</v>
      </c>
      <c r="L13" s="6">
        <v>-100</v>
      </c>
      <c r="M13">
        <f>SUM(N6:N8)</f>
        <v>71</v>
      </c>
      <c r="N13" s="6">
        <f>Table13[[#This Row],[Qty]]*Table13[[#This Row],[$]]</f>
        <v>-7100</v>
      </c>
    </row>
    <row r="14" spans="1:18" x14ac:dyDescent="0.45">
      <c r="A14" t="s">
        <v>16</v>
      </c>
      <c r="B14" t="s">
        <v>44</v>
      </c>
      <c r="C14">
        <v>1</v>
      </c>
      <c r="D14">
        <v>0</v>
      </c>
      <c r="E14">
        <v>2</v>
      </c>
      <c r="F14">
        <v>0</v>
      </c>
      <c r="G14" t="s">
        <v>37</v>
      </c>
      <c r="H14">
        <v>45</v>
      </c>
      <c r="I14">
        <v>1</v>
      </c>
      <c r="K14" t="s">
        <v>4</v>
      </c>
      <c r="L14" s="6">
        <f>-500000/52</f>
        <v>-9615.3846153846152</v>
      </c>
      <c r="M14">
        <f>N2</f>
        <v>4</v>
      </c>
      <c r="N14" s="6">
        <f>Table13[[#This Row],[Qty]]*Table13[[#This Row],[$]]</f>
        <v>-38461.538461538461</v>
      </c>
    </row>
    <row r="15" spans="1:18" x14ac:dyDescent="0.45">
      <c r="A15" t="s">
        <v>17</v>
      </c>
      <c r="B15" t="s">
        <v>22</v>
      </c>
      <c r="C15">
        <v>0</v>
      </c>
      <c r="D15">
        <v>1</v>
      </c>
      <c r="E15">
        <v>0</v>
      </c>
      <c r="F15">
        <v>0</v>
      </c>
      <c r="G15" t="s">
        <v>25</v>
      </c>
      <c r="H15">
        <f>24*10</f>
        <v>240</v>
      </c>
      <c r="I15">
        <v>1</v>
      </c>
      <c r="K15" t="s">
        <v>10</v>
      </c>
      <c r="L15" s="6">
        <f>-50000/52</f>
        <v>-961.53846153846155</v>
      </c>
      <c r="M15">
        <f>SUM(N3:N4)</f>
        <v>14</v>
      </c>
      <c r="N15" s="6">
        <f>Table13[[#This Row],[Qty]]*Table13[[#This Row],[$]]</f>
        <v>-13461.538461538461</v>
      </c>
    </row>
    <row r="16" spans="1:18" x14ac:dyDescent="0.45">
      <c r="A16" t="s">
        <v>33</v>
      </c>
      <c r="B16" t="s">
        <v>22</v>
      </c>
      <c r="C16">
        <v>0</v>
      </c>
      <c r="D16">
        <v>1</v>
      </c>
      <c r="E16">
        <v>0</v>
      </c>
      <c r="F16">
        <v>0</v>
      </c>
      <c r="H16">
        <v>50</v>
      </c>
      <c r="I16">
        <v>1</v>
      </c>
      <c r="K16" t="s">
        <v>1</v>
      </c>
      <c r="L16" s="6">
        <f>-35000/52</f>
        <v>-673.07692307692309</v>
      </c>
      <c r="M16">
        <f>N5</f>
        <v>1</v>
      </c>
      <c r="N16" s="6">
        <f>Table13[[#This Row],[Qty]]*Table13[[#This Row],[$]]</f>
        <v>-673.07692307692309</v>
      </c>
    </row>
    <row r="17" spans="1:14" x14ac:dyDescent="0.45">
      <c r="A17" t="s">
        <v>35</v>
      </c>
      <c r="H17">
        <f>SUM(Table2[Time (min)])-SUM(H12:H13)</f>
        <v>570</v>
      </c>
      <c r="K17" t="s">
        <v>43</v>
      </c>
      <c r="L17" s="6"/>
      <c r="N17" s="6">
        <f>SUM(Table13[Subtotal])</f>
        <v>1060303.846153846</v>
      </c>
    </row>
  </sheetData>
  <sortState xmlns:xlrd2="http://schemas.microsoft.com/office/spreadsheetml/2017/richdata2" ref="K2:K15">
    <sortCondition ref="K2:K15"/>
  </sortState>
  <phoneticPr fontId="1" type="noConversion"/>
  <conditionalFormatting sqref="K2:R8">
    <cfRule type="expression" dxfId="0" priority="12">
      <formula>IF($Q2=1,TRUE,FALSE)</formula>
    </cfRule>
  </conditionalFormatting>
  <conditionalFormatting sqref="M2:M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8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8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Jacen Kohler</dc:creator>
  <cp:lastModifiedBy>Jacen Kohler</cp:lastModifiedBy>
  <dcterms:created xsi:type="dcterms:W3CDTF">2025-06-21T01:13:44Z</dcterms:created>
  <dcterms:modified xsi:type="dcterms:W3CDTF">2025-11-01T15:36:37Z</dcterms:modified>
</cp:coreProperties>
</file>